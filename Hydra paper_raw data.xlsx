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HEA\hydra\"/>
    </mc:Choice>
  </mc:AlternateContent>
  <xr:revisionPtr revIDLastSave="0" documentId="13_ncr:1_{7527CEB8-EE7E-41D9-BD7F-5EA4FB24B4B1}" xr6:coauthVersionLast="47" xr6:coauthVersionMax="47" xr10:uidLastSave="{00000000-0000-0000-0000-000000000000}"/>
  <bookViews>
    <workbookView xWindow="-120" yWindow="-120" windowWidth="29040" windowHeight="15720" firstSheet="2" activeTab="5" xr2:uid="{EF5416F5-203B-4561-9A62-DA0B20CA1B17}"/>
  </bookViews>
  <sheets>
    <sheet name="Figure2 d" sheetId="2" r:id="rId1"/>
    <sheet name="Figure2 e" sheetId="3" r:id="rId2"/>
    <sheet name="Figure2 g" sheetId="4" r:id="rId3"/>
    <sheet name="Figure2 h" sheetId="5" r:id="rId4"/>
    <sheet name="Figure4 c" sheetId="6" r:id="rId5"/>
    <sheet name="Figure4 d" sheetId="7" r:id="rId6"/>
    <sheet name="Figure4 g" sheetId="8" r:id="rId7"/>
    <sheet name="Figure4 j" sheetId="9" r:id="rId8"/>
    <sheet name="modulus" sheetId="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1" l="1"/>
  <c r="H3" i="1" s="1"/>
  <c r="G3" i="1" l="1"/>
</calcChain>
</file>

<file path=xl/sharedStrings.xml><?xml version="1.0" encoding="utf-8"?>
<sst xmlns="http://schemas.openxmlformats.org/spreadsheetml/2006/main" count="40" uniqueCount="23">
  <si>
    <t>n1</t>
    <phoneticPr fontId="1" type="noConversion"/>
  </si>
  <si>
    <t>n2</t>
    <phoneticPr fontId="1" type="noConversion"/>
  </si>
  <si>
    <t>Mean</t>
    <phoneticPr fontId="1" type="noConversion"/>
  </si>
  <si>
    <t>S.E.M.</t>
    <phoneticPr fontId="1" type="noConversion"/>
  </si>
  <si>
    <t>n3</t>
    <phoneticPr fontId="1" type="noConversion"/>
  </si>
  <si>
    <t>n4</t>
  </si>
  <si>
    <t>n5</t>
  </si>
  <si>
    <t>Nozzle inner diameter (µm)</t>
  </si>
  <si>
    <t>Line width (µm)</t>
  </si>
  <si>
    <t>error bar</t>
    <phoneticPr fontId="1" type="noConversion"/>
  </si>
  <si>
    <t>3D electrode height (µm)</t>
  </si>
  <si>
    <t>Vertical speed (mm/s)</t>
  </si>
  <si>
    <t>Frequency (kHz)</t>
  </si>
  <si>
    <t>LM+PtB</t>
  </si>
  <si>
    <t>LM+PtB(ing)</t>
  </si>
  <si>
    <t>3D LM electrode</t>
  </si>
  <si>
    <t>PtB coated LM (60s)</t>
  </si>
  <si>
    <t>PtB coated LM (180s)</t>
  </si>
  <si>
    <t>Pre-amputation</t>
  </si>
  <si>
    <t>0h</t>
  </si>
  <si>
    <t>24h</t>
  </si>
  <si>
    <t>48h</t>
  </si>
  <si>
    <t>72h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</si>
</sst>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14C48-9367-4673-BEFD-F3022FB157A4}">
  <dimension ref="A1:C9"/>
  <sheetViews>
    <sheetView workbookViewId="0">
      <selection activeCell="C1" sqref="C1"/>
    </sheetView>
  </sheetViews>
  <sheetFormatPr defaultRowHeight="16.5" x14ac:dyDescent="0.3"/>
  <sheetData>
    <row r="1" spans="1:3" x14ac:dyDescent="0.3">
      <c r="A1" t="s">
        <v>7</v>
      </c>
      <c r="B1" t="s">
        <v>8</v>
      </c>
      <c r="C1" t="s">
        <v>9</v>
      </c>
    </row>
    <row r="2" spans="1:3" x14ac:dyDescent="0.3">
      <c r="A2">
        <v>9</v>
      </c>
      <c r="B2">
        <v>7.2</v>
      </c>
      <c r="C2">
        <v>1.8</v>
      </c>
    </row>
    <row r="3" spans="1:3" x14ac:dyDescent="0.3">
      <c r="A3">
        <v>12</v>
      </c>
      <c r="B3">
        <v>10.5</v>
      </c>
      <c r="C3">
        <v>3</v>
      </c>
    </row>
    <row r="4" spans="1:3" x14ac:dyDescent="0.3">
      <c r="A4">
        <v>26</v>
      </c>
      <c r="B4">
        <v>20.3</v>
      </c>
      <c r="C4">
        <v>3.2</v>
      </c>
    </row>
    <row r="5" spans="1:3" x14ac:dyDescent="0.3">
      <c r="A5">
        <v>34</v>
      </c>
      <c r="B5">
        <v>23.8</v>
      </c>
      <c r="C5">
        <v>5.8</v>
      </c>
    </row>
    <row r="6" spans="1:3" x14ac:dyDescent="0.3">
      <c r="A6">
        <v>50</v>
      </c>
      <c r="B6">
        <v>40.200000000000003</v>
      </c>
      <c r="C6">
        <v>6.1</v>
      </c>
    </row>
    <row r="7" spans="1:3" x14ac:dyDescent="0.3">
      <c r="A7">
        <v>80</v>
      </c>
      <c r="B7">
        <v>68.7</v>
      </c>
      <c r="C7">
        <v>7.5</v>
      </c>
    </row>
    <row r="8" spans="1:3" x14ac:dyDescent="0.3">
      <c r="A8">
        <v>100</v>
      </c>
      <c r="B8">
        <v>91.2</v>
      </c>
      <c r="C8">
        <v>8.9</v>
      </c>
    </row>
    <row r="9" spans="1:3" x14ac:dyDescent="0.3">
      <c r="A9">
        <v>120</v>
      </c>
      <c r="B9">
        <v>102.4</v>
      </c>
      <c r="C9">
        <v>13.2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F166FB-0198-475B-BB20-35BDE996557D}">
  <dimension ref="A1:C8"/>
  <sheetViews>
    <sheetView workbookViewId="0">
      <selection activeCell="E6" sqref="E6"/>
    </sheetView>
  </sheetViews>
  <sheetFormatPr defaultRowHeight="16.5" x14ac:dyDescent="0.3"/>
  <sheetData>
    <row r="1" spans="1:3" x14ac:dyDescent="0.3">
      <c r="A1" t="s">
        <v>10</v>
      </c>
      <c r="B1" t="s">
        <v>11</v>
      </c>
      <c r="C1" t="s">
        <v>9</v>
      </c>
    </row>
    <row r="2" spans="1:3" x14ac:dyDescent="0.3">
      <c r="A2">
        <v>0</v>
      </c>
      <c r="B2">
        <v>2</v>
      </c>
    </row>
    <row r="3" spans="1:3" x14ac:dyDescent="0.3">
      <c r="A3">
        <v>48.2</v>
      </c>
      <c r="B3">
        <v>1.1000000000000001</v>
      </c>
      <c r="C3">
        <v>10.4</v>
      </c>
    </row>
    <row r="4" spans="1:3" x14ac:dyDescent="0.3">
      <c r="A4">
        <v>111.5</v>
      </c>
      <c r="B4">
        <v>0.5</v>
      </c>
      <c r="C4">
        <v>16.2</v>
      </c>
    </row>
    <row r="5" spans="1:3" x14ac:dyDescent="0.3">
      <c r="A5">
        <v>150.4</v>
      </c>
      <c r="B5">
        <v>0.3</v>
      </c>
      <c r="C5">
        <v>12.5</v>
      </c>
    </row>
    <row r="6" spans="1:3" x14ac:dyDescent="0.3">
      <c r="A6">
        <v>200.8</v>
      </c>
      <c r="B6">
        <v>0.15</v>
      </c>
      <c r="C6">
        <v>15.2</v>
      </c>
    </row>
    <row r="7" spans="1:3" x14ac:dyDescent="0.3">
      <c r="A7">
        <v>308.10000000000002</v>
      </c>
      <c r="B7">
        <v>7.0000000000000007E-2</v>
      </c>
      <c r="C7">
        <v>16.8</v>
      </c>
    </row>
    <row r="8" spans="1:3" x14ac:dyDescent="0.3">
      <c r="A8">
        <v>420.5</v>
      </c>
      <c r="B8">
        <v>0.04</v>
      </c>
      <c r="C8">
        <v>21.7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57F5C-36FA-4C2A-AA2E-1EFD8389D1E0}">
  <dimension ref="A1:D52"/>
  <sheetViews>
    <sheetView workbookViewId="0">
      <selection activeCell="D9" sqref="D9"/>
    </sheetView>
  </sheetViews>
  <sheetFormatPr defaultRowHeight="16.5" x14ac:dyDescent="0.3"/>
  <sheetData>
    <row r="1" spans="1:4" x14ac:dyDescent="0.3">
      <c r="A1" t="s">
        <v>12</v>
      </c>
      <c r="B1" t="s">
        <v>13</v>
      </c>
      <c r="C1" t="s">
        <v>14</v>
      </c>
      <c r="D1" t="s">
        <v>15</v>
      </c>
    </row>
    <row r="2" spans="1:4" x14ac:dyDescent="0.3">
      <c r="A2">
        <v>100000</v>
      </c>
      <c r="B2">
        <v>6707.7004999999999</v>
      </c>
      <c r="C2">
        <v>16400.314539999999</v>
      </c>
      <c r="D2">
        <v>42589.013079999997</v>
      </c>
    </row>
    <row r="3" spans="1:4" x14ac:dyDescent="0.3">
      <c r="A3">
        <v>79432.820309999996</v>
      </c>
      <c r="B3">
        <v>7393.70561</v>
      </c>
      <c r="C3">
        <v>17812.482609999999</v>
      </c>
      <c r="D3">
        <v>51360.303769999999</v>
      </c>
    </row>
    <row r="4" spans="1:4" x14ac:dyDescent="0.3">
      <c r="A4">
        <v>63095.734380000002</v>
      </c>
      <c r="B4">
        <v>8224.1001099999994</v>
      </c>
      <c r="C4">
        <v>20198.407620000002</v>
      </c>
      <c r="D4">
        <v>47281.62</v>
      </c>
    </row>
    <row r="5" spans="1:4" x14ac:dyDescent="0.3">
      <c r="A5">
        <v>50118.722659999999</v>
      </c>
      <c r="B5">
        <v>9497.3281999999999</v>
      </c>
      <c r="C5">
        <v>26500.615760000001</v>
      </c>
      <c r="D5">
        <v>55016.83006</v>
      </c>
    </row>
    <row r="6" spans="1:4" x14ac:dyDescent="0.3">
      <c r="A6">
        <v>39810.71875</v>
      </c>
      <c r="B6">
        <v>10780.654759999999</v>
      </c>
      <c r="C6">
        <v>28564.580180000001</v>
      </c>
      <c r="D6">
        <v>61670.36911</v>
      </c>
    </row>
    <row r="7" spans="1:4" x14ac:dyDescent="0.3">
      <c r="A7">
        <v>31622.777340000001</v>
      </c>
      <c r="B7">
        <v>12664.57769</v>
      </c>
      <c r="C7">
        <v>31762.878680000002</v>
      </c>
      <c r="D7">
        <v>70395.789319999996</v>
      </c>
    </row>
    <row r="8" spans="1:4" x14ac:dyDescent="0.3">
      <c r="A8">
        <v>25118.865229999999</v>
      </c>
      <c r="B8">
        <v>14843.53458</v>
      </c>
      <c r="C8">
        <v>38300.208579999999</v>
      </c>
      <c r="D8">
        <v>79018.499530000001</v>
      </c>
    </row>
    <row r="9" spans="1:4" x14ac:dyDescent="0.3">
      <c r="A9">
        <v>19952.623049999998</v>
      </c>
      <c r="B9">
        <v>17305.596239999999</v>
      </c>
      <c r="C9">
        <v>44313.21443</v>
      </c>
      <c r="D9">
        <v>89762.217380000002</v>
      </c>
    </row>
    <row r="10" spans="1:4" x14ac:dyDescent="0.3">
      <c r="A10">
        <v>15848.931640000001</v>
      </c>
      <c r="B10">
        <v>20500.707890000001</v>
      </c>
      <c r="C10">
        <v>51869.728759999998</v>
      </c>
      <c r="D10">
        <v>103286.97037</v>
      </c>
    </row>
    <row r="11" spans="1:4" x14ac:dyDescent="0.3">
      <c r="A11">
        <v>12589.253909999999</v>
      </c>
      <c r="B11">
        <v>24149.196680000001</v>
      </c>
      <c r="C11">
        <v>60503.203439999997</v>
      </c>
      <c r="D11">
        <v>118806.21377</v>
      </c>
    </row>
    <row r="12" spans="1:4" x14ac:dyDescent="0.3">
      <c r="A12">
        <v>10000</v>
      </c>
      <c r="B12">
        <v>28351.558349999999</v>
      </c>
      <c r="C12">
        <v>69947.129830000005</v>
      </c>
      <c r="D12">
        <v>136389.54816000001</v>
      </c>
    </row>
    <row r="13" spans="1:4" x14ac:dyDescent="0.3">
      <c r="A13">
        <v>7943.2822299999998</v>
      </c>
      <c r="B13">
        <v>34084.581160000002</v>
      </c>
      <c r="C13">
        <v>80649.316170000006</v>
      </c>
      <c r="D13">
        <v>160564.39999000001</v>
      </c>
    </row>
    <row r="14" spans="1:4" x14ac:dyDescent="0.3">
      <c r="A14">
        <v>6309.5732399999997</v>
      </c>
      <c r="B14">
        <v>40015.818720000003</v>
      </c>
      <c r="C14">
        <v>96192.586790000001</v>
      </c>
      <c r="D14">
        <v>181852.65226999999</v>
      </c>
    </row>
    <row r="15" spans="1:4" x14ac:dyDescent="0.3">
      <c r="A15">
        <v>5011.8725599999998</v>
      </c>
      <c r="B15">
        <v>47063.094340000003</v>
      </c>
      <c r="C15">
        <v>110111.09187</v>
      </c>
      <c r="D15">
        <v>214974.25479000001</v>
      </c>
    </row>
    <row r="16" spans="1:4" x14ac:dyDescent="0.3">
      <c r="A16">
        <v>3981.0717800000002</v>
      </c>
      <c r="B16">
        <v>54102.779799999997</v>
      </c>
      <c r="C16">
        <v>124234.98103</v>
      </c>
      <c r="D16">
        <v>262727.1862</v>
      </c>
    </row>
    <row r="17" spans="1:4" x14ac:dyDescent="0.3">
      <c r="A17">
        <v>3162.2775900000001</v>
      </c>
      <c r="B17">
        <v>61828.078159999997</v>
      </c>
      <c r="C17">
        <v>141439.78245</v>
      </c>
      <c r="D17">
        <v>303931.41210999998</v>
      </c>
    </row>
    <row r="18" spans="1:4" x14ac:dyDescent="0.3">
      <c r="A18">
        <v>2511.8864699999999</v>
      </c>
      <c r="B18">
        <v>71977.126789999995</v>
      </c>
      <c r="C18">
        <v>163041.81292999999</v>
      </c>
      <c r="D18">
        <v>369488.06559999997</v>
      </c>
    </row>
    <row r="19" spans="1:4" x14ac:dyDescent="0.3">
      <c r="A19">
        <v>1995.26233</v>
      </c>
      <c r="B19">
        <v>80754.947029999996</v>
      </c>
      <c r="C19">
        <v>182597.48250000001</v>
      </c>
      <c r="D19">
        <v>435380.79817999998</v>
      </c>
    </row>
    <row r="20" spans="1:4" x14ac:dyDescent="0.3">
      <c r="A20">
        <v>1584.89319</v>
      </c>
      <c r="B20">
        <v>90770.631630000003</v>
      </c>
      <c r="C20">
        <v>205444.21494999999</v>
      </c>
      <c r="D20">
        <v>519969.66668000002</v>
      </c>
    </row>
    <row r="21" spans="1:4" x14ac:dyDescent="0.3">
      <c r="A21">
        <v>1258.92542</v>
      </c>
      <c r="B21">
        <v>101391.34808</v>
      </c>
      <c r="C21">
        <v>230726.57212999999</v>
      </c>
      <c r="D21">
        <v>621352.91396999999</v>
      </c>
    </row>
    <row r="22" spans="1:4" x14ac:dyDescent="0.3">
      <c r="A22">
        <v>1000</v>
      </c>
      <c r="B22">
        <v>113076.25943999999</v>
      </c>
      <c r="C22">
        <v>247389.26431999999</v>
      </c>
      <c r="D22">
        <v>736358.1385</v>
      </c>
    </row>
    <row r="23" spans="1:4" x14ac:dyDescent="0.3">
      <c r="A23">
        <v>794.32825000000003</v>
      </c>
      <c r="B23">
        <v>125862.49836</v>
      </c>
      <c r="C23">
        <v>284211.57222999999</v>
      </c>
      <c r="D23">
        <v>879692.20035000006</v>
      </c>
    </row>
    <row r="24" spans="1:4" x14ac:dyDescent="0.3">
      <c r="A24">
        <v>630.95734000000004</v>
      </c>
      <c r="B24">
        <v>139588.73160999999</v>
      </c>
      <c r="C24">
        <v>316274.44124999997</v>
      </c>
      <c r="D24">
        <v>1056587.2109399999</v>
      </c>
    </row>
    <row r="25" spans="1:4" x14ac:dyDescent="0.3">
      <c r="A25">
        <v>501.18723</v>
      </c>
      <c r="B25">
        <v>153476.54986</v>
      </c>
      <c r="C25">
        <v>348188.52824000001</v>
      </c>
      <c r="D25">
        <v>1253647.0264399999</v>
      </c>
    </row>
    <row r="26" spans="1:4" x14ac:dyDescent="0.3">
      <c r="A26">
        <v>398.10718000000003</v>
      </c>
      <c r="B26">
        <v>170775.45105999999</v>
      </c>
      <c r="C26">
        <v>412032.89778</v>
      </c>
      <c r="D26">
        <v>1494757.9818599999</v>
      </c>
    </row>
    <row r="27" spans="1:4" x14ac:dyDescent="0.3">
      <c r="A27">
        <v>316.22775000000001</v>
      </c>
      <c r="B27">
        <v>190633.86536</v>
      </c>
      <c r="C27">
        <v>451787.55826999998</v>
      </c>
      <c r="D27">
        <v>1788014.0875200001</v>
      </c>
    </row>
    <row r="28" spans="1:4" x14ac:dyDescent="0.3">
      <c r="A28">
        <v>251.18863999999999</v>
      </c>
      <c r="B28">
        <v>209184.83846</v>
      </c>
      <c r="C28">
        <v>499413.90944999998</v>
      </c>
      <c r="D28">
        <v>2290815.5769600002</v>
      </c>
    </row>
    <row r="29" spans="1:4" x14ac:dyDescent="0.3">
      <c r="A29">
        <v>199.52623</v>
      </c>
      <c r="B29">
        <v>233165.65354</v>
      </c>
      <c r="C29">
        <v>562906.97520999995</v>
      </c>
      <c r="D29">
        <v>2729285.4033599999</v>
      </c>
    </row>
    <row r="30" spans="1:4" x14ac:dyDescent="0.3">
      <c r="A30">
        <v>158.48931999999999</v>
      </c>
      <c r="B30">
        <v>259498.31758999999</v>
      </c>
      <c r="C30">
        <v>669484.64011000004</v>
      </c>
      <c r="D30">
        <v>3301728.2629999998</v>
      </c>
    </row>
    <row r="31" spans="1:4" x14ac:dyDescent="0.3">
      <c r="A31">
        <v>125.89254</v>
      </c>
      <c r="B31">
        <v>285127.08811000001</v>
      </c>
      <c r="C31">
        <v>791632.05441999994</v>
      </c>
      <c r="D31">
        <v>3896299.0943399998</v>
      </c>
    </row>
    <row r="32" spans="1:4" x14ac:dyDescent="0.3">
      <c r="A32">
        <v>100</v>
      </c>
      <c r="B32">
        <v>315703.84821000003</v>
      </c>
      <c r="C32">
        <v>1038170.11341</v>
      </c>
      <c r="D32">
        <v>4626702.3428800004</v>
      </c>
    </row>
    <row r="33" spans="1:4" x14ac:dyDescent="0.3">
      <c r="A33">
        <v>79.432820000000007</v>
      </c>
      <c r="B33">
        <v>349587.66379000002</v>
      </c>
      <c r="C33">
        <v>1207112.61846</v>
      </c>
      <c r="D33">
        <v>5412639.4100500001</v>
      </c>
    </row>
    <row r="34" spans="1:4" x14ac:dyDescent="0.3">
      <c r="A34">
        <v>63.095730000000003</v>
      </c>
      <c r="B34">
        <v>382519.95598999999</v>
      </c>
      <c r="C34">
        <v>1366352.8075900001</v>
      </c>
      <c r="D34">
        <v>6705226.6393900001</v>
      </c>
    </row>
    <row r="35" spans="1:4" x14ac:dyDescent="0.3">
      <c r="A35">
        <v>50.118720000000003</v>
      </c>
      <c r="B35">
        <v>435164.32504000003</v>
      </c>
      <c r="C35">
        <v>1533720.4201199999</v>
      </c>
      <c r="D35">
        <v>7883481.8698199997</v>
      </c>
    </row>
    <row r="36" spans="1:4" x14ac:dyDescent="0.3">
      <c r="A36">
        <v>39.810720000000003</v>
      </c>
      <c r="B36">
        <v>486632.37787000003</v>
      </c>
      <c r="C36">
        <v>1761670.9857099999</v>
      </c>
      <c r="D36">
        <v>9445866.4541200008</v>
      </c>
    </row>
    <row r="37" spans="1:4" x14ac:dyDescent="0.3">
      <c r="A37">
        <v>31.622779999999999</v>
      </c>
      <c r="B37">
        <v>550971.29084999999</v>
      </c>
      <c r="C37">
        <v>2105618.9181300001</v>
      </c>
      <c r="D37" s="6">
        <v>10819000</v>
      </c>
    </row>
    <row r="38" spans="1:4" x14ac:dyDescent="0.3">
      <c r="A38">
        <v>25.118860000000002</v>
      </c>
      <c r="B38">
        <v>627638.04558999999</v>
      </c>
      <c r="C38">
        <v>2432261.5217599999</v>
      </c>
      <c r="D38" s="6">
        <v>12449500</v>
      </c>
    </row>
    <row r="39" spans="1:4" x14ac:dyDescent="0.3">
      <c r="A39">
        <v>19.95262</v>
      </c>
      <c r="B39">
        <v>723772.68613000005</v>
      </c>
      <c r="C39">
        <v>2947138.1791900001</v>
      </c>
      <c r="D39" s="6">
        <v>14777000</v>
      </c>
    </row>
    <row r="40" spans="1:4" x14ac:dyDescent="0.3">
      <c r="A40">
        <v>15.848929999999999</v>
      </c>
      <c r="B40">
        <v>828837.57463000005</v>
      </c>
      <c r="C40">
        <v>3444344.66805</v>
      </c>
      <c r="D40" s="6">
        <v>18002200</v>
      </c>
    </row>
    <row r="41" spans="1:4" x14ac:dyDescent="0.3">
      <c r="A41">
        <v>12.58925</v>
      </c>
      <c r="B41">
        <v>977138.77275999996</v>
      </c>
      <c r="C41">
        <v>4042395.2749700001</v>
      </c>
      <c r="D41" s="6">
        <v>21943800</v>
      </c>
    </row>
    <row r="42" spans="1:4" x14ac:dyDescent="0.3">
      <c r="A42">
        <v>10</v>
      </c>
      <c r="B42">
        <v>1115113.33241</v>
      </c>
      <c r="C42">
        <v>4807054.77379</v>
      </c>
      <c r="D42" s="6">
        <v>27099700</v>
      </c>
    </row>
    <row r="43" spans="1:4" x14ac:dyDescent="0.3">
      <c r="A43">
        <v>7.9432799999999997</v>
      </c>
      <c r="B43">
        <v>1282098.0839499999</v>
      </c>
      <c r="C43">
        <v>5630338.7600999996</v>
      </c>
      <c r="D43" s="6">
        <v>33923300</v>
      </c>
    </row>
    <row r="44" spans="1:4" x14ac:dyDescent="0.3">
      <c r="A44">
        <v>6.3095699999999999</v>
      </c>
      <c r="B44">
        <v>1382555.21538</v>
      </c>
      <c r="C44">
        <v>6686400.88851</v>
      </c>
      <c r="D44" s="6">
        <v>37525700</v>
      </c>
    </row>
    <row r="45" spans="1:4" x14ac:dyDescent="0.3">
      <c r="A45">
        <v>5.01187</v>
      </c>
      <c r="B45">
        <v>1606564.6439199999</v>
      </c>
      <c r="C45">
        <v>7529326.8973399997</v>
      </c>
      <c r="D45" s="6">
        <v>44554200</v>
      </c>
    </row>
    <row r="46" spans="1:4" x14ac:dyDescent="0.3">
      <c r="A46">
        <v>3.9810699999999999</v>
      </c>
      <c r="B46">
        <v>1715561.4713600001</v>
      </c>
      <c r="C46">
        <v>8355781.7369799996</v>
      </c>
      <c r="D46" s="6">
        <v>51699800</v>
      </c>
    </row>
    <row r="47" spans="1:4" x14ac:dyDescent="0.3">
      <c r="A47">
        <v>3.16228</v>
      </c>
      <c r="B47">
        <v>1903144.9189800001</v>
      </c>
      <c r="C47">
        <v>6909280.9066899996</v>
      </c>
      <c r="D47" s="6">
        <v>61295100</v>
      </c>
    </row>
    <row r="48" spans="1:4" x14ac:dyDescent="0.3">
      <c r="A48">
        <v>2.5118900000000002</v>
      </c>
      <c r="B48">
        <v>1910037.7773</v>
      </c>
      <c r="C48" s="6">
        <v>11110100</v>
      </c>
      <c r="D48" s="6">
        <v>72282700</v>
      </c>
    </row>
    <row r="49" spans="1:4" x14ac:dyDescent="0.3">
      <c r="A49">
        <v>1.99526</v>
      </c>
      <c r="B49">
        <v>2020985.6384999999</v>
      </c>
      <c r="C49" s="6">
        <v>12543400</v>
      </c>
      <c r="D49" s="6">
        <v>82834600</v>
      </c>
    </row>
    <row r="50" spans="1:4" x14ac:dyDescent="0.3">
      <c r="A50">
        <v>1.5848899999999999</v>
      </c>
      <c r="B50">
        <v>2049071.54406</v>
      </c>
      <c r="C50" s="6">
        <v>12125200</v>
      </c>
      <c r="D50" s="6">
        <v>112838000</v>
      </c>
    </row>
    <row r="51" spans="1:4" x14ac:dyDescent="0.3">
      <c r="A51">
        <v>1.2589300000000001</v>
      </c>
      <c r="B51">
        <v>2086325.9913300001</v>
      </c>
      <c r="C51" s="6">
        <v>15401600</v>
      </c>
      <c r="D51" s="6">
        <v>104550000</v>
      </c>
    </row>
    <row r="52" spans="1:4" x14ac:dyDescent="0.3">
      <c r="A52">
        <v>1</v>
      </c>
      <c r="B52">
        <v>2134658.0492500002</v>
      </c>
      <c r="C52" s="6">
        <v>16698000</v>
      </c>
      <c r="D52" s="6">
        <v>126885000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6205-9AB3-4B7B-AC35-A568DDFCB71F}">
  <dimension ref="A1:C6"/>
  <sheetViews>
    <sheetView workbookViewId="0">
      <selection activeCell="E9" sqref="E9"/>
    </sheetView>
  </sheetViews>
  <sheetFormatPr defaultRowHeight="16.5" x14ac:dyDescent="0.3"/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>
        <v>736.35</v>
      </c>
      <c r="B2">
        <v>247.38</v>
      </c>
      <c r="C2">
        <v>113.08</v>
      </c>
    </row>
    <row r="3" spans="1:3" x14ac:dyDescent="0.3">
      <c r="A3">
        <v>802.84</v>
      </c>
      <c r="B3">
        <v>220.92</v>
      </c>
      <c r="C3">
        <v>110.81</v>
      </c>
    </row>
    <row r="4" spans="1:3" x14ac:dyDescent="0.3">
      <c r="A4">
        <v>791.18</v>
      </c>
      <c r="B4">
        <v>267.38</v>
      </c>
      <c r="C4">
        <v>162.44999999999999</v>
      </c>
    </row>
    <row r="5" spans="1:3" x14ac:dyDescent="0.3">
      <c r="A5">
        <v>706.83</v>
      </c>
      <c r="B5">
        <v>281.57</v>
      </c>
      <c r="C5">
        <v>100.67</v>
      </c>
    </row>
    <row r="6" spans="1:3" x14ac:dyDescent="0.3">
      <c r="A6">
        <v>755.51</v>
      </c>
      <c r="B6">
        <v>257.12</v>
      </c>
      <c r="C6">
        <v>148.25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6C58C-4B3E-4A2C-B502-59DBD4D92E3B}">
  <dimension ref="A1:E10"/>
  <sheetViews>
    <sheetView workbookViewId="0">
      <selection activeCell="H8" sqref="H8"/>
    </sheetView>
  </sheetViews>
  <sheetFormatPr defaultRowHeight="16.5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>
        <v>1.7857099999999999</v>
      </c>
      <c r="B2">
        <v>1</v>
      </c>
      <c r="C2">
        <v>1.0535699999999999</v>
      </c>
      <c r="D2">
        <v>1.39286</v>
      </c>
      <c r="E2">
        <v>1.9285699999999999</v>
      </c>
    </row>
    <row r="3" spans="1:5" x14ac:dyDescent="0.3">
      <c r="A3">
        <v>2.3809499999999999</v>
      </c>
      <c r="B3">
        <v>1</v>
      </c>
      <c r="C3">
        <v>1.14286</v>
      </c>
      <c r="D3">
        <v>1.30952</v>
      </c>
      <c r="E3">
        <v>1.8333299999999999</v>
      </c>
    </row>
    <row r="4" spans="1:5" x14ac:dyDescent="0.3">
      <c r="A4">
        <v>1.63934</v>
      </c>
      <c r="B4">
        <v>1</v>
      </c>
      <c r="C4">
        <v>0.96721000000000001</v>
      </c>
      <c r="D4">
        <v>1.29508</v>
      </c>
      <c r="E4">
        <v>1.80328</v>
      </c>
    </row>
    <row r="5" spans="1:5" x14ac:dyDescent="0.3">
      <c r="A5">
        <v>1.88679</v>
      </c>
      <c r="B5">
        <v>1</v>
      </c>
      <c r="C5">
        <v>1.0377400000000001</v>
      </c>
      <c r="D5">
        <v>1.28302</v>
      </c>
      <c r="E5">
        <v>1.7924500000000001</v>
      </c>
    </row>
    <row r="6" spans="1:5" x14ac:dyDescent="0.3">
      <c r="A6">
        <v>1.9230799999999999</v>
      </c>
      <c r="B6">
        <v>1</v>
      </c>
      <c r="C6">
        <v>1.3269200000000001</v>
      </c>
      <c r="D6">
        <v>1.5384599999999999</v>
      </c>
      <c r="E6">
        <v>2.4615399999999998</v>
      </c>
    </row>
    <row r="7" spans="1:5" x14ac:dyDescent="0.3">
      <c r="A7">
        <v>1.72414</v>
      </c>
      <c r="B7">
        <v>1</v>
      </c>
      <c r="C7">
        <v>0.98275999999999997</v>
      </c>
      <c r="D7">
        <v>1.05172</v>
      </c>
      <c r="E7">
        <v>1.10345</v>
      </c>
    </row>
    <row r="8" spans="1:5" x14ac:dyDescent="0.3">
      <c r="A8">
        <v>2.1276600000000001</v>
      </c>
      <c r="B8">
        <v>1</v>
      </c>
      <c r="C8">
        <v>0.91488999999999998</v>
      </c>
      <c r="D8">
        <v>1.1914899999999999</v>
      </c>
      <c r="E8">
        <v>1.57447</v>
      </c>
    </row>
    <row r="9" spans="1:5" x14ac:dyDescent="0.3">
      <c r="A9">
        <v>2.2222200000000001</v>
      </c>
      <c r="B9">
        <v>1</v>
      </c>
      <c r="C9">
        <v>1.24444</v>
      </c>
      <c r="D9">
        <v>1.6</v>
      </c>
      <c r="E9">
        <v>2.26667</v>
      </c>
    </row>
    <row r="10" spans="1:5" x14ac:dyDescent="0.3">
      <c r="A10">
        <v>2.5640999999999998</v>
      </c>
      <c r="B10">
        <v>1</v>
      </c>
      <c r="C10">
        <v>1.35897</v>
      </c>
      <c r="D10">
        <v>1.5384599999999999</v>
      </c>
      <c r="E10">
        <v>2.1282100000000002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3B1A-5B18-42A5-9A4B-044FFF27ADD5}">
  <dimension ref="A1:E10"/>
  <sheetViews>
    <sheetView tabSelected="1" workbookViewId="0">
      <selection activeCell="L8" sqref="L8"/>
    </sheetView>
  </sheetViews>
  <sheetFormatPr defaultRowHeight="16.5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>
        <v>2.2727300000000001</v>
      </c>
      <c r="B2">
        <v>1</v>
      </c>
      <c r="C2">
        <v>0.97726999999999997</v>
      </c>
      <c r="D2">
        <v>1.11364</v>
      </c>
      <c r="E2">
        <v>1.40909</v>
      </c>
    </row>
    <row r="3" spans="1:5" x14ac:dyDescent="0.3">
      <c r="A3">
        <v>1.72414</v>
      </c>
      <c r="B3">
        <v>1</v>
      </c>
      <c r="C3">
        <v>1.1896599999999999</v>
      </c>
      <c r="D3">
        <v>1.22414</v>
      </c>
      <c r="E3">
        <v>1.6275900000000001</v>
      </c>
    </row>
    <row r="4" spans="1:5" x14ac:dyDescent="0.3">
      <c r="A4">
        <v>2.5640999999999998</v>
      </c>
      <c r="B4">
        <v>1</v>
      </c>
      <c r="C4">
        <v>1.0769200000000001</v>
      </c>
      <c r="D4">
        <v>1.5897399999999999</v>
      </c>
      <c r="E4">
        <v>2.10256</v>
      </c>
    </row>
    <row r="5" spans="1:5" x14ac:dyDescent="0.3">
      <c r="A5">
        <v>2.1276600000000001</v>
      </c>
      <c r="B5">
        <v>1</v>
      </c>
      <c r="C5">
        <v>1.08511</v>
      </c>
      <c r="D5">
        <v>1.5319100000000001</v>
      </c>
      <c r="E5">
        <v>1.7872300000000001</v>
      </c>
    </row>
    <row r="6" spans="1:5" x14ac:dyDescent="0.3">
      <c r="A6">
        <v>2.0833300000000001</v>
      </c>
      <c r="B6">
        <v>1</v>
      </c>
      <c r="C6">
        <v>0.9375</v>
      </c>
      <c r="D6">
        <v>1.5625</v>
      </c>
      <c r="E6">
        <v>1.8125</v>
      </c>
    </row>
    <row r="7" spans="1:5" x14ac:dyDescent="0.3">
      <c r="A7">
        <v>2.3809499999999999</v>
      </c>
      <c r="B7">
        <v>1</v>
      </c>
      <c r="C7">
        <v>1.1666700000000001</v>
      </c>
      <c r="D7">
        <v>1.6190500000000001</v>
      </c>
      <c r="E7">
        <v>2.5142899999999999</v>
      </c>
    </row>
    <row r="8" spans="1:5" x14ac:dyDescent="0.3">
      <c r="A8">
        <v>1.88679</v>
      </c>
      <c r="B8">
        <v>1</v>
      </c>
      <c r="C8">
        <v>1.0377400000000001</v>
      </c>
      <c r="D8">
        <v>1.30189</v>
      </c>
      <c r="E8">
        <v>1.5283</v>
      </c>
    </row>
    <row r="9" spans="1:5" x14ac:dyDescent="0.3">
      <c r="A9">
        <v>1.5181800000000001</v>
      </c>
      <c r="B9">
        <v>1</v>
      </c>
      <c r="C9">
        <v>1.1523000000000001</v>
      </c>
      <c r="D9">
        <v>1.1454500000000001</v>
      </c>
      <c r="E9">
        <v>2.3090899999999999</v>
      </c>
    </row>
    <row r="10" spans="1:5" x14ac:dyDescent="0.3">
      <c r="A10">
        <v>1.63934</v>
      </c>
      <c r="B10">
        <v>1</v>
      </c>
      <c r="C10">
        <v>1.1803300000000001</v>
      </c>
      <c r="D10">
        <v>1.2786900000000001</v>
      </c>
      <c r="E10">
        <v>1.95082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8DFB8-F61B-459A-B8BE-DA136AA83BAC}">
  <dimension ref="A1:E15"/>
  <sheetViews>
    <sheetView workbookViewId="0">
      <selection activeCell="E16" sqref="C16:E16"/>
    </sheetView>
  </sheetViews>
  <sheetFormatPr defaultRowHeight="16.5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>
        <v>1.4526300000000001</v>
      </c>
      <c r="B2">
        <v>1.7263200000000001</v>
      </c>
      <c r="C2">
        <v>1.0315799999999999</v>
      </c>
      <c r="D2">
        <v>2.7473700000000001</v>
      </c>
      <c r="E2">
        <v>2.70526</v>
      </c>
    </row>
    <row r="3" spans="1:5" x14ac:dyDescent="0.3">
      <c r="A3">
        <v>1.1000000000000001</v>
      </c>
      <c r="B3">
        <v>1.9</v>
      </c>
      <c r="C3">
        <v>0.63749999999999996</v>
      </c>
      <c r="D3">
        <v>0.9375</v>
      </c>
      <c r="E3">
        <v>1.1276299999999999</v>
      </c>
    </row>
    <row r="4" spans="1:5" x14ac:dyDescent="0.3">
      <c r="A4">
        <v>1.61538</v>
      </c>
      <c r="B4">
        <v>1.15385</v>
      </c>
      <c r="C4">
        <v>2.0615399999999999</v>
      </c>
      <c r="D4">
        <v>1.7538499999999999</v>
      </c>
      <c r="E4">
        <v>0.81537999999999999</v>
      </c>
    </row>
    <row r="5" spans="1:5" x14ac:dyDescent="0.3">
      <c r="A5">
        <v>2.32857</v>
      </c>
      <c r="B5">
        <v>0.67142999999999997</v>
      </c>
      <c r="C5">
        <v>0.24285999999999999</v>
      </c>
      <c r="D5">
        <v>1.9285699999999999</v>
      </c>
      <c r="E5">
        <v>2.8714300000000001</v>
      </c>
    </row>
    <row r="6" spans="1:5" x14ac:dyDescent="0.3">
      <c r="A6">
        <v>3.1285699999999999</v>
      </c>
      <c r="B6">
        <v>1.14286</v>
      </c>
      <c r="C6">
        <v>1.2285699999999999</v>
      </c>
      <c r="D6">
        <v>1.32857</v>
      </c>
      <c r="E6">
        <v>3.17143</v>
      </c>
    </row>
    <row r="7" spans="1:5" x14ac:dyDescent="0.3">
      <c r="A7">
        <v>0.92852000000000001</v>
      </c>
      <c r="B7">
        <v>0.95</v>
      </c>
      <c r="C7">
        <v>1.23</v>
      </c>
      <c r="D7">
        <v>1.86</v>
      </c>
      <c r="E7">
        <v>2.1800000000000002</v>
      </c>
    </row>
    <row r="8" spans="1:5" x14ac:dyDescent="0.3">
      <c r="A8">
        <v>3.1485099999999999</v>
      </c>
      <c r="B8">
        <v>0.41578999999999999</v>
      </c>
      <c r="C8">
        <v>1</v>
      </c>
      <c r="D8">
        <v>1.3263199999999999</v>
      </c>
      <c r="E8">
        <v>2.4315799999999999</v>
      </c>
    </row>
    <row r="9" spans="1:5" x14ac:dyDescent="0.3">
      <c r="A9">
        <v>0.8125</v>
      </c>
      <c r="B9">
        <v>0.91249999999999998</v>
      </c>
      <c r="C9">
        <v>1.4624999999999999</v>
      </c>
      <c r="D9">
        <v>2.0625</v>
      </c>
      <c r="E9">
        <v>1.425</v>
      </c>
    </row>
    <row r="10" spans="1:5" x14ac:dyDescent="0.3">
      <c r="A10">
        <v>2.1230799999999999</v>
      </c>
      <c r="B10">
        <v>1.62923</v>
      </c>
      <c r="C10">
        <v>1.50769</v>
      </c>
      <c r="D10">
        <v>2.0156299999999998</v>
      </c>
      <c r="E10">
        <v>3.0461499999999999</v>
      </c>
    </row>
    <row r="11" spans="1:5" x14ac:dyDescent="0.3">
      <c r="A11">
        <v>2.9846200000000001</v>
      </c>
      <c r="B11">
        <v>0.90769</v>
      </c>
      <c r="C11">
        <v>0.58462000000000003</v>
      </c>
      <c r="D11">
        <v>1.9230799999999999</v>
      </c>
      <c r="E11">
        <v>1.50769</v>
      </c>
    </row>
    <row r="12" spans="1:5" x14ac:dyDescent="0.3">
      <c r="A12">
        <v>1.2615400000000001</v>
      </c>
      <c r="B12">
        <v>1.50769</v>
      </c>
      <c r="C12">
        <v>0.8</v>
      </c>
      <c r="D12">
        <v>2.4153799999999999</v>
      </c>
      <c r="E12">
        <v>0.91854999999999998</v>
      </c>
    </row>
    <row r="13" spans="1:5" x14ac:dyDescent="0.3">
      <c r="A13">
        <v>2.6608100000000001</v>
      </c>
      <c r="B13">
        <v>0.88571</v>
      </c>
      <c r="C13">
        <v>1.7285699999999999</v>
      </c>
      <c r="D13">
        <v>1.9</v>
      </c>
      <c r="E13">
        <v>2.0428600000000001</v>
      </c>
    </row>
    <row r="14" spans="1:5" x14ac:dyDescent="0.3">
      <c r="A14">
        <v>1.77542</v>
      </c>
      <c r="B14">
        <v>0.54286000000000001</v>
      </c>
      <c r="C14">
        <v>0.54286000000000001</v>
      </c>
      <c r="D14">
        <v>1.1571400000000001</v>
      </c>
      <c r="E14">
        <v>2.7571400000000001</v>
      </c>
    </row>
    <row r="15" spans="1:5" x14ac:dyDescent="0.3">
      <c r="A15">
        <v>1.8440300000000001</v>
      </c>
      <c r="B15">
        <v>1.3314600000000001</v>
      </c>
      <c r="C15">
        <v>1.2583299999999999</v>
      </c>
      <c r="D15">
        <v>1.5</v>
      </c>
      <c r="E15">
        <v>1.7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F2F79-15B4-4302-80A2-E9ED837A9439}">
  <dimension ref="A1:E11"/>
  <sheetViews>
    <sheetView workbookViewId="0">
      <selection activeCell="A2" sqref="A2"/>
    </sheetView>
  </sheetViews>
  <sheetFormatPr defaultRowHeight="16.5" x14ac:dyDescent="0.3"/>
  <sheetData>
    <row r="1" spans="1:5" x14ac:dyDescent="0.3">
      <c r="A1" t="s">
        <v>18</v>
      </c>
      <c r="B1" t="s">
        <v>19</v>
      </c>
      <c r="C1" t="s">
        <v>20</v>
      </c>
      <c r="D1" t="s">
        <v>21</v>
      </c>
      <c r="E1" t="s">
        <v>22</v>
      </c>
    </row>
    <row r="2" spans="1:5" x14ac:dyDescent="0.3">
      <c r="A2">
        <v>82</v>
      </c>
      <c r="B2">
        <v>18</v>
      </c>
      <c r="C2">
        <v>16</v>
      </c>
      <c r="D2">
        <v>92</v>
      </c>
      <c r="E2">
        <v>232</v>
      </c>
    </row>
    <row r="3" spans="1:5" x14ac:dyDescent="0.3">
      <c r="A3">
        <v>106</v>
      </c>
      <c r="B3">
        <v>10</v>
      </c>
      <c r="C3">
        <v>21</v>
      </c>
      <c r="D3">
        <v>108</v>
      </c>
      <c r="E3">
        <v>159</v>
      </c>
    </row>
    <row r="4" spans="1:5" x14ac:dyDescent="0.3">
      <c r="A4">
        <v>201</v>
      </c>
      <c r="B4">
        <v>5</v>
      </c>
      <c r="C4">
        <v>102</v>
      </c>
      <c r="D4">
        <v>159</v>
      </c>
      <c r="E4">
        <v>75</v>
      </c>
    </row>
    <row r="5" spans="1:5" x14ac:dyDescent="0.3">
      <c r="A5">
        <v>155</v>
      </c>
      <c r="B5">
        <v>6</v>
      </c>
      <c r="C5">
        <v>5</v>
      </c>
      <c r="D5">
        <v>57</v>
      </c>
      <c r="E5">
        <v>68</v>
      </c>
    </row>
    <row r="6" spans="1:5" x14ac:dyDescent="0.3">
      <c r="A6">
        <v>115</v>
      </c>
      <c r="B6">
        <v>5</v>
      </c>
      <c r="C6">
        <v>3</v>
      </c>
      <c r="D6">
        <v>183</v>
      </c>
      <c r="E6">
        <v>209</v>
      </c>
    </row>
    <row r="7" spans="1:5" x14ac:dyDescent="0.3">
      <c r="A7">
        <v>56</v>
      </c>
      <c r="B7">
        <v>9</v>
      </c>
      <c r="C7">
        <v>59</v>
      </c>
      <c r="D7">
        <v>22</v>
      </c>
      <c r="E7">
        <v>88</v>
      </c>
    </row>
    <row r="8" spans="1:5" x14ac:dyDescent="0.3">
      <c r="A8">
        <v>98</v>
      </c>
      <c r="B8">
        <v>56</v>
      </c>
      <c r="C8">
        <v>22</v>
      </c>
      <c r="D8">
        <v>67</v>
      </c>
      <c r="E8">
        <v>176</v>
      </c>
    </row>
    <row r="9" spans="1:5" x14ac:dyDescent="0.3">
      <c r="A9">
        <v>85</v>
      </c>
      <c r="B9">
        <v>12</v>
      </c>
      <c r="C9">
        <v>81</v>
      </c>
      <c r="D9">
        <v>130</v>
      </c>
      <c r="E9">
        <v>203</v>
      </c>
    </row>
    <row r="10" spans="1:5" x14ac:dyDescent="0.3">
      <c r="A10">
        <v>152</v>
      </c>
      <c r="B10">
        <v>28</v>
      </c>
      <c r="C10">
        <v>39</v>
      </c>
      <c r="D10">
        <v>98</v>
      </c>
      <c r="E10">
        <v>116</v>
      </c>
    </row>
    <row r="11" spans="1:5" x14ac:dyDescent="0.3">
      <c r="A11">
        <v>235</v>
      </c>
      <c r="B11">
        <v>8</v>
      </c>
      <c r="C11">
        <v>15</v>
      </c>
      <c r="D11">
        <v>62</v>
      </c>
      <c r="E11">
        <v>125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E90C2-978E-4A64-AC5B-86549C3E4E05}">
  <dimension ref="A2:H3"/>
  <sheetViews>
    <sheetView workbookViewId="0">
      <selection activeCell="E25" sqref="E25"/>
    </sheetView>
  </sheetViews>
  <sheetFormatPr defaultRowHeight="16.5" x14ac:dyDescent="0.3"/>
  <sheetData>
    <row r="2" spans="1:8" x14ac:dyDescent="0.3">
      <c r="A2" s="1"/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  <c r="G2" s="3" t="s">
        <v>2</v>
      </c>
      <c r="H2" s="3" t="s">
        <v>3</v>
      </c>
    </row>
    <row r="3" spans="1:8" x14ac:dyDescent="0.3">
      <c r="A3" s="4">
        <v>0</v>
      </c>
      <c r="B3" s="4">
        <v>261</v>
      </c>
      <c r="C3" s="4">
        <v>212</v>
      </c>
      <c r="D3" s="5">
        <f>AVERAGE(B3:C3)</f>
        <v>236.5</v>
      </c>
      <c r="E3" s="5">
        <v>209</v>
      </c>
      <c r="F3" s="4">
        <v>268</v>
      </c>
      <c r="G3" s="5">
        <f>AVERAGE(B3:F3)</f>
        <v>237.3</v>
      </c>
      <c r="H3" s="5">
        <f>_xlfn.STDEV.S(B3:F3)/SQRT(COUNT(B3:F3))</f>
        <v>12.136309158883495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Figure2 d</vt:lpstr>
      <vt:lpstr>Figure2 e</vt:lpstr>
      <vt:lpstr>Figure2 g</vt:lpstr>
      <vt:lpstr>Figure2 h</vt:lpstr>
      <vt:lpstr>Figure4 c</vt:lpstr>
      <vt:lpstr>Figure4 d</vt:lpstr>
      <vt:lpstr>Figure4 g</vt:lpstr>
      <vt:lpstr>Figure4 j</vt:lpstr>
      <vt:lpstr>modulus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김은지</dc:creator>
  <cp:lastModifiedBy>김은지</cp:lastModifiedBy>
  <dcterms:created xsi:type="dcterms:W3CDTF">2026-06-04T15:36:12Z</dcterms:created>
  <dcterms:modified xsi:type="dcterms:W3CDTF">2026-06-07T14:44:19Z</dcterms:modified>
</cp:coreProperties>
</file>